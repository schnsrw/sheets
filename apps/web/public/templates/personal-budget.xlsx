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<sst xmlns="http://schemas.openxmlformats.org/spreadsheetml/2006/main" count="20" uniqueCount="20">
  <si>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Category</t>
  </si>
  <si>
    <t>Budget</t>
  </si>
  <si>
    <t>Jan</t>
  </si>
  <si>
    <t>Feb</t>
  </si>
  <si>
    <t>Mar</t>
  </si>
  <si>
    <t>Avg / mo</t>
  </si>
  <si>
    <t>Remaining</t>
  </si>
  <si>
    <t>Income · Salary</t>
  </si>
  <si>
    <t>Income · Side gig</t>
  </si>
  <si>
    <t>Housing · Rent</t>
  </si>
  <si>
    <t>Housing · Utilities</t>
  </si>
  <si>
    <t>Groceries</t>
  </si>
  <si>
    <t>Dining out</t>
  </si>
  <si>
    <t>Transport · Gas</t>
  </si>
  <si>
    <t>Transport · Transit</t>
  </si>
  <si>
    <t>Health &amp; wellness</t>
  </si>
  <si>
    <t>Subscriptions</t>
  </si>
  <si>
    <t>Savings</t>
  </si>
  <si>
    <t>Discretionary</t>
  </si>
  <si>
    <t>Net (Income − Expenses)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</si>
</sst>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1F2937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164" fontId="0" fillId="0" borderId="0" xfId="0" applyNumberFormat="1"/>
    <xf numFmtId="0" fontId="2" fillId="3" borderId="0" xfId="0" applyFont="1" applyFill="1"/>
    <xf numFmtId="164" fontId="0" fillId="3" borderId="0" xfId="0" applyNumberFormat="1" applyFill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G1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4" customWidth="1"/>
    <col min="2" max="2" width="14" customWidth="1"/>
    <col min="3" max="6" width="12" customWidth="1"/>
    <col min="7" max="7" width="14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>
        <v>5400</v>
      </c>
      <c r="C2" s="3">
        <v>5400</v>
      </c>
      <c r="D2" s="3">
        <v>5400</v>
      </c>
      <c r="E2" s="3">
        <v>5400</v>
      </c>
      <c r="F2" s="3">
        <f>AVERAGE(C2:E2)</f>
      </c>
      <c r="G2" s="3">
        <f>B2-F2</f>
      </c>
    </row>
    <row r="3" spans="1:7" x14ac:dyDescent="0.25">
      <c r="A3" s="4" t="s">
        <v>8</v>
      </c>
      <c r="B3" s="5">
        <v>600</v>
      </c>
      <c r="C3" s="5">
        <v>480</v>
      </c>
      <c r="D3" s="5">
        <v>620</v>
      </c>
      <c r="E3" s="5">
        <v>560</v>
      </c>
      <c r="F3" s="5">
        <f>AVERAGE(C3:E3)</f>
      </c>
      <c r="G3" s="5">
        <f>B3-F3</f>
      </c>
    </row>
    <row r="4" spans="1:7" x14ac:dyDescent="0.25">
      <c r="A4" s="2" t="s">
        <v>9</v>
      </c>
      <c r="B4" s="3">
        <v>1800</v>
      </c>
      <c r="C4" s="3">
        <v>1800</v>
      </c>
      <c r="D4" s="3">
        <v>1800</v>
      </c>
      <c r="E4" s="3">
        <v>1800</v>
      </c>
      <c r="F4" s="3">
        <f>AVERAGE(C4:E4)</f>
      </c>
      <c r="G4" s="3">
        <f>B4-F4</f>
      </c>
    </row>
    <row r="5" spans="1:7" x14ac:dyDescent="0.25">
      <c r="A5" s="4" t="s">
        <v>10</v>
      </c>
      <c r="B5" s="5">
        <v>220</v>
      </c>
      <c r="C5" s="5">
        <v>195</v>
      </c>
      <c r="D5" s="5">
        <v>240</v>
      </c>
      <c r="E5" s="5">
        <v>215</v>
      </c>
      <c r="F5" s="5">
        <f>AVERAGE(C5:E5)</f>
      </c>
      <c r="G5" s="5">
        <f>B5-F5</f>
      </c>
    </row>
    <row r="6" spans="1:7" x14ac:dyDescent="0.25">
      <c r="A6" s="2" t="s">
        <v>11</v>
      </c>
      <c r="B6" s="3">
        <v>520</v>
      </c>
      <c r="C6" s="3">
        <v>510</v>
      </c>
      <c r="D6" s="3">
        <v>530</v>
      </c>
      <c r="E6" s="3">
        <v>495</v>
      </c>
      <c r="F6" s="3">
        <f>AVERAGE(C6:E6)</f>
      </c>
      <c r="G6" s="3">
        <f>B6-F6</f>
      </c>
    </row>
    <row r="7" spans="1:7" x14ac:dyDescent="0.25">
      <c r="A7" s="4" t="s">
        <v>12</v>
      </c>
      <c r="B7" s="5">
        <v>240</v>
      </c>
      <c r="C7" s="5">
        <v>280</v>
      </c>
      <c r="D7" s="5">
        <v>195</v>
      </c>
      <c r="E7" s="5">
        <v>220</v>
      </c>
      <c r="F7" s="5">
        <f>AVERAGE(C7:E7)</f>
      </c>
      <c r="G7" s="5">
        <f>B7-F7</f>
      </c>
    </row>
    <row r="8" spans="1:7" x14ac:dyDescent="0.25">
      <c r="A8" s="2" t="s">
        <v>13</v>
      </c>
      <c r="B8" s="3">
        <v>180</v>
      </c>
      <c r="C8" s="3">
        <v>150</v>
      </c>
      <c r="D8" s="3">
        <v>165</v>
      </c>
      <c r="E8" s="3">
        <v>175</v>
      </c>
      <c r="F8" s="3">
        <f>AVERAGE(C8:E8)</f>
      </c>
      <c r="G8" s="3">
        <f>B8-F8</f>
      </c>
    </row>
    <row r="9" spans="1:7" x14ac:dyDescent="0.25">
      <c r="A9" s="4" t="s">
        <v>14</v>
      </c>
      <c r="B9" s="5">
        <v>100</v>
      </c>
      <c r="C9" s="5">
        <v>92</v>
      </c>
      <c r="D9" s="5">
        <v>100</v>
      </c>
      <c r="E9" s="5">
        <v>92</v>
      </c>
      <c r="F9" s="5">
        <f>AVERAGE(C9:E9)</f>
      </c>
      <c r="G9" s="5">
        <f>B9-F9</f>
      </c>
    </row>
    <row r="10" spans="1:7" x14ac:dyDescent="0.25">
      <c r="A10" s="2" t="s">
        <v>15</v>
      </c>
      <c r="B10" s="3">
        <v>150</v>
      </c>
      <c r="C10" s="3">
        <v>95</v>
      </c>
      <c r="D10" s="3">
        <v>180</v>
      </c>
      <c r="E10" s="3">
        <v>60</v>
      </c>
      <c r="F10" s="3">
        <f>AVERAGE(C10:E10)</f>
      </c>
      <c r="G10" s="3">
        <f>B10-F10</f>
      </c>
    </row>
    <row r="11" spans="1:7" x14ac:dyDescent="0.25">
      <c r="A11" s="4" t="s">
        <v>16</v>
      </c>
      <c r="B11" s="5">
        <v>120</v>
      </c>
      <c r="C11" s="5">
        <v>118</v>
      </c>
      <c r="D11" s="5">
        <v>118</v>
      </c>
      <c r="E11" s="5">
        <v>122</v>
      </c>
      <c r="F11" s="5">
        <f>AVERAGE(C11:E11)</f>
      </c>
      <c r="G11" s="5">
        <f>B11-F11</f>
      </c>
    </row>
    <row r="12" spans="1:7" x14ac:dyDescent="0.25">
      <c r="A12" s="2" t="s">
        <v>17</v>
      </c>
      <c r="B12" s="3">
        <v>800</v>
      </c>
      <c r="C12" s="3">
        <v>800</v>
      </c>
      <c r="D12" s="3">
        <v>800</v>
      </c>
      <c r="E12" s="3">
        <v>1000</v>
      </c>
      <c r="F12" s="3">
        <f>AVERAGE(C12:E12)</f>
      </c>
      <c r="G12" s="3">
        <f>B12-F12</f>
      </c>
    </row>
    <row r="13" spans="1:7" x14ac:dyDescent="0.25">
      <c r="A13" s="4" t="s">
        <v>18</v>
      </c>
      <c r="B13" s="5">
        <v>300</v>
      </c>
      <c r="C13" s="5">
        <v>410</v>
      </c>
      <c r="D13" s="5">
        <v>280</v>
      </c>
      <c r="E13" s="5">
        <v>195</v>
      </c>
      <c r="F13" s="5">
        <f>AVERAGE(C13:E13)</f>
      </c>
      <c r="G13" s="5">
        <f>B13-F13</f>
      </c>
    </row>
    <row r="15" spans="1:6" x14ac:dyDescent="0.25">
      <c r="A15" s="6" t="s">
        <v>19</v>
      </c>
      <c r="B15" s="7">
        <f>SUM(B2:B3)-SUM(B4:B13)</f>
      </c>
      <c r="C15" s="7">
        <f>SUM(C2:C3)-SUM(C4:C13)</f>
      </c>
      <c r="D15" s="7">
        <f>SUM(D2:D3)-SUM(D4:D13)</f>
      </c>
      <c r="E15" s="7">
        <f>SUM(E2:E3)-SUM(E4:E13)</f>
      </c>
      <c r="F15" s="7">
        <f>AVERAGE(C15:E15)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Casual Sheets</dc:creator>
  <dc:title>Personal Budget</dc:title>
  <dc:subject/>
  <dc:description/>
  <cp:keywords/>
  <cp:category/>
  <cp:lastModifiedBy>Unknown</cp:lastModifiedBy>
  <dcterms:created xsi:type="dcterms:W3CDTF">2026-05-24T00:09:10Z</dcterms:created>
  <dcterms:modified xsi:type="dcterms:W3CDTF">2026-05-24T00:09:10Z</dcterms:modified>
</cp:coreProperties>
</file>